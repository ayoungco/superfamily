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The Super Family TV Series\"/>
    </mc:Choice>
  </mc:AlternateContent>
  <xr:revisionPtr revIDLastSave="0" documentId="13_ncr:1_{12A58A17-F5B9-493E-8846-4C7F4C2CFB5A}" xr6:coauthVersionLast="47" xr6:coauthVersionMax="47" xr10:uidLastSave="{00000000-0000-0000-0000-000000000000}"/>
  <bookViews>
    <workbookView xWindow="3120" yWindow="3120" windowWidth="28800" windowHeight="15345" xr2:uid="{00000000-000D-0000-FFFF-FFFF00000000}"/>
  </bookViews>
  <sheets>
    <sheet name="Movies to Seasons" sheetId="1" r:id="rId1"/>
    <sheet name="Powerteam Miniseries" sheetId="3" r:id="rId2"/>
    <sheet name="Season 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1" i="1" l="1"/>
  <c r="E12" i="1"/>
  <c r="E13" i="1"/>
  <c r="E14" i="1"/>
  <c r="E15" i="1"/>
  <c r="E9" i="1"/>
  <c r="E7" i="1"/>
  <c r="E6" i="1"/>
  <c r="E5" i="1"/>
  <c r="E4" i="1"/>
  <c r="E3" i="1"/>
  <c r="E2" i="1"/>
  <c r="D14" i="1"/>
  <c r="D13" i="1"/>
  <c r="D8" i="1"/>
  <c r="D10" i="1"/>
  <c r="E10" i="1" s="1"/>
  <c r="E8" i="1" l="1"/>
  <c r="D16" i="1"/>
  <c r="E16" i="1" s="1"/>
</calcChain>
</file>

<file path=xl/sharedStrings.xml><?xml version="1.0" encoding="utf-8"?>
<sst xmlns="http://schemas.openxmlformats.org/spreadsheetml/2006/main" count="74" uniqueCount="59">
  <si>
    <t>Short Name</t>
  </si>
  <si>
    <t>Long Name</t>
  </si>
  <si>
    <t>Length (Minutes)</t>
  </si>
  <si>
    <t>SF1</t>
  </si>
  <si>
    <t>SF2</t>
  </si>
  <si>
    <t>SF3</t>
  </si>
  <si>
    <t>SF4</t>
  </si>
  <si>
    <t>SF5</t>
  </si>
  <si>
    <t>SF6</t>
  </si>
  <si>
    <t>SF7</t>
  </si>
  <si>
    <t>SF8</t>
  </si>
  <si>
    <t>SF9</t>
  </si>
  <si>
    <t>SF10</t>
  </si>
  <si>
    <t>SF11</t>
  </si>
  <si>
    <t>SF12</t>
  </si>
  <si>
    <t>SF13</t>
  </si>
  <si>
    <t>SF14</t>
  </si>
  <si>
    <t>The Super Family's 2nd Movie</t>
  </si>
  <si>
    <t>The Super Family's 4th Movie</t>
  </si>
  <si>
    <t>The Super Family's 5th Movie: Escape From Mata Nui</t>
  </si>
  <si>
    <t>The Super Family's 6th Movie: Return Home</t>
  </si>
  <si>
    <t>The Super Family's 8th Movie: Kal</t>
  </si>
  <si>
    <t>The Super Family's 13th Movie: Destiny</t>
  </si>
  <si>
    <t>The Super Family's 12th Movie: The Final Battle</t>
  </si>
  <si>
    <t>The Super Family's 7th Movie: The Toa Nuva</t>
  </si>
  <si>
    <t>The Super Family's 14th Movie: The Great Vacation</t>
  </si>
  <si>
    <t>The Super Family's 11th Movie: The Universal War</t>
  </si>
  <si>
    <t>The Super Family's 10th Movie: Prepare for the War</t>
  </si>
  <si>
    <t>EpisodeID</t>
  </si>
  <si>
    <t>Title</t>
  </si>
  <si>
    <t>Length</t>
  </si>
  <si>
    <t>S1E1</t>
  </si>
  <si>
    <t>S1E2</t>
  </si>
  <si>
    <t>Makuta's Reign</t>
  </si>
  <si>
    <t>A New Ally</t>
  </si>
  <si>
    <t>S1E3</t>
  </si>
  <si>
    <t>Notes</t>
  </si>
  <si>
    <t>The Super Family's 1st Movie: Makuta's Reign</t>
  </si>
  <si>
    <t>Episode Count</t>
  </si>
  <si>
    <t>The Super Family's 9th Movie: The Beginning</t>
  </si>
  <si>
    <t>The Super Family's 3rd Movie: Makuta's Revenge</t>
  </si>
  <si>
    <t>Total</t>
  </si>
  <si>
    <t>The Super Family Movie Series</t>
  </si>
  <si>
    <t>Denoise Video</t>
  </si>
  <si>
    <t>Audio Denoise</t>
  </si>
  <si>
    <t>Scene Detection</t>
  </si>
  <si>
    <t>AVI Backup</t>
  </si>
  <si>
    <t>Yes</t>
  </si>
  <si>
    <t>Episode Numbers</t>
  </si>
  <si>
    <t>Season</t>
  </si>
  <si>
    <t>1,2</t>
  </si>
  <si>
    <t>3,4</t>
  </si>
  <si>
    <t>5,6,7,8</t>
  </si>
  <si>
    <t>9,10</t>
  </si>
  <si>
    <t>1,2,3</t>
  </si>
  <si>
    <t>4,5</t>
  </si>
  <si>
    <t>6,7,8,9</t>
  </si>
  <si>
    <t>10,11,12</t>
  </si>
  <si>
    <t>13,14,15,16,17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</si>
</sst>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</cellXfs>
  <cellStyles count="1">
    <cellStyle name="Normal" xfId="0" builtinId="0"/>
  </cellStyles>
  <dxfs count="18"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74C9F0-DAAC-4F7A-B29D-055855E0D3CC}" name="Table1" displayName="Table1" ref="A1:K16" totalsRowCount="1" totalsRowDxfId="17">
  <autoFilter ref="A1:K15" xr:uid="{8374C9F0-DAAC-4F7A-B29D-055855E0D3CC}"/>
  <tableColumns count="11">
    <tableColumn id="1" xr3:uid="{89EAE529-413B-4231-8149-2671338B0A8B}" name="Short Name" totalsRowLabel="Total" totalsRowDxfId="10"/>
    <tableColumn id="2" xr3:uid="{5DEA925F-96CE-4AD2-91D3-E06851E1FE26}" name="Long Name" totalsRowLabel="The Super Family Movie Series" totalsRowDxfId="9"/>
    <tableColumn id="12" xr3:uid="{25BDEA3F-717C-41D8-9A83-1255915A1BF5}" name="Season" dataDxfId="16" totalsRowDxfId="8"/>
    <tableColumn id="3" xr3:uid="{EB0C9436-6CC1-49FB-8CF6-AF328D14BC17}" name="Length (Minutes)" totalsRowFunction="custom" totalsRowDxfId="7">
      <totalsRowFormula>SUM(Table1[Length (Minutes)])</totalsRowFormula>
    </tableColumn>
    <tableColumn id="5" xr3:uid="{E5AFAFCA-7BB6-4FAC-B1B5-598D4CE7CC9D}" name="Episode Count" totalsRowFunction="custom" totalsRowDxfId="6">
      <totalsRowFormula>CEILING(D16/60, 1)</totalsRowFormula>
    </tableColumn>
    <tableColumn id="9" xr3:uid="{BA15A636-1B96-4613-929C-B74114D79741}" name="Episode Numbers" dataDxfId="11" totalsRowDxfId="5"/>
    <tableColumn id="11" xr3:uid="{D14DD9D7-3065-4F09-B7A3-7D7D0400D243}" name="AVI Backup" totalsRowLabel="Yes" dataDxfId="12" totalsRowDxfId="4"/>
    <tableColumn id="8" xr3:uid="{81F2AB8E-05F2-4196-A864-55D5B2CAA2EA}" name="Denoise Video" dataDxfId="15" totalsRowDxfId="3"/>
    <tableColumn id="7" xr3:uid="{0B94E927-E738-4FB9-A6E4-509AEFD095C2}" name="Audio Denoise" dataDxfId="14" totalsRowDxfId="2"/>
    <tableColumn id="10" xr3:uid="{42B6721C-C141-4AB1-9691-9FD960076213}" name="Scene Detection" dataDxfId="13" totalsRowDxfId="1"/>
    <tableColumn id="6" xr3:uid="{E334C511-BD72-4C1A-ACFD-F703D64D0483}" name="Notes" totalsRow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F19" sqref="F19"/>
    </sheetView>
  </sheetViews>
  <sheetFormatPr defaultRowHeight="15" x14ac:dyDescent="0.25"/>
  <cols>
    <col min="1" max="1" width="10.85546875" customWidth="1"/>
    <col min="2" max="2" width="48.42578125" customWidth="1"/>
    <col min="3" max="3" width="9.5703125" bestFit="1" customWidth="1"/>
    <col min="4" max="4" width="8.5703125" customWidth="1"/>
    <col min="5" max="5" width="16.140625" bestFit="1" customWidth="1"/>
    <col min="6" max="6" width="18.140625" style="4" customWidth="1"/>
    <col min="7" max="7" width="13.140625" bestFit="1" customWidth="1"/>
    <col min="8" max="9" width="16.42578125" bestFit="1" customWidth="1"/>
    <col min="10" max="10" width="17.85546875" bestFit="1" customWidth="1"/>
    <col min="11" max="11" width="8.5703125" bestFit="1" customWidth="1"/>
    <col min="12" max="12" width="44.42578125" customWidth="1"/>
  </cols>
  <sheetData>
    <row r="1" spans="1:11" x14ac:dyDescent="0.25">
      <c r="A1" t="s">
        <v>0</v>
      </c>
      <c r="B1" t="s">
        <v>1</v>
      </c>
      <c r="C1" t="s">
        <v>49</v>
      </c>
      <c r="D1" t="s">
        <v>2</v>
      </c>
      <c r="E1" t="s">
        <v>38</v>
      </c>
      <c r="F1" s="4" t="s">
        <v>48</v>
      </c>
      <c r="G1" t="s">
        <v>46</v>
      </c>
      <c r="H1" t="s">
        <v>43</v>
      </c>
      <c r="I1" t="s">
        <v>44</v>
      </c>
      <c r="J1" t="s">
        <v>45</v>
      </c>
      <c r="K1" t="s">
        <v>36</v>
      </c>
    </row>
    <row r="2" spans="1:11" x14ac:dyDescent="0.25">
      <c r="A2" s="1" t="s">
        <v>3</v>
      </c>
      <c r="B2" s="1" t="s">
        <v>37</v>
      </c>
      <c r="C2" s="1">
        <v>1</v>
      </c>
      <c r="D2" s="1">
        <v>112</v>
      </c>
      <c r="E2" s="1">
        <f>CEILING(D2/60, 1)</f>
        <v>2</v>
      </c>
      <c r="F2" s="5" t="s">
        <v>50</v>
      </c>
      <c r="G2" s="1" t="s">
        <v>47</v>
      </c>
      <c r="H2" s="1"/>
      <c r="I2" s="1"/>
      <c r="J2" s="1"/>
      <c r="K2" s="1"/>
    </row>
    <row r="3" spans="1:11" x14ac:dyDescent="0.25">
      <c r="A3" s="1" t="s">
        <v>4</v>
      </c>
      <c r="B3" s="1" t="s">
        <v>17</v>
      </c>
      <c r="C3" s="1">
        <v>1</v>
      </c>
      <c r="D3" s="1">
        <v>118</v>
      </c>
      <c r="E3" s="1">
        <f t="shared" ref="E3:E5" si="0">CEILING(D3/60, 1)</f>
        <v>2</v>
      </c>
      <c r="F3" s="5" t="s">
        <v>51</v>
      </c>
      <c r="G3" s="1" t="s">
        <v>47</v>
      </c>
      <c r="H3" s="1"/>
      <c r="I3" s="1"/>
      <c r="J3" s="1"/>
      <c r="K3" s="1"/>
    </row>
    <row r="4" spans="1:11" x14ac:dyDescent="0.25">
      <c r="A4" s="1" t="s">
        <v>5</v>
      </c>
      <c r="B4" s="1" t="s">
        <v>40</v>
      </c>
      <c r="C4" s="1">
        <v>1</v>
      </c>
      <c r="D4" s="1">
        <v>233</v>
      </c>
      <c r="E4" s="1">
        <f t="shared" si="0"/>
        <v>4</v>
      </c>
      <c r="F4" s="5" t="s">
        <v>52</v>
      </c>
      <c r="G4" s="1" t="s">
        <v>47</v>
      </c>
      <c r="H4" s="1"/>
      <c r="I4" s="1"/>
      <c r="J4" s="1"/>
      <c r="K4" s="1"/>
    </row>
    <row r="5" spans="1:11" x14ac:dyDescent="0.25">
      <c r="A5" s="1" t="s">
        <v>6</v>
      </c>
      <c r="B5" s="1" t="s">
        <v>18</v>
      </c>
      <c r="C5" s="1">
        <v>1</v>
      </c>
      <c r="D5" s="1">
        <v>120</v>
      </c>
      <c r="E5" s="1">
        <f t="shared" si="0"/>
        <v>2</v>
      </c>
      <c r="F5" s="5" t="s">
        <v>53</v>
      </c>
      <c r="G5" s="1" t="s">
        <v>47</v>
      </c>
      <c r="H5" s="1"/>
      <c r="I5" s="1"/>
      <c r="J5" s="1"/>
      <c r="K5" s="1"/>
    </row>
    <row r="6" spans="1:11" x14ac:dyDescent="0.25">
      <c r="A6" s="2" t="s">
        <v>7</v>
      </c>
      <c r="B6" s="2" t="s">
        <v>19</v>
      </c>
      <c r="C6" s="2">
        <v>2</v>
      </c>
      <c r="D6" s="2">
        <v>124</v>
      </c>
      <c r="E6" s="2">
        <f t="shared" ref="E6:E9" si="1">CEILING(D6/60,1)</f>
        <v>3</v>
      </c>
      <c r="F6" s="6" t="s">
        <v>54</v>
      </c>
      <c r="G6" s="2" t="s">
        <v>47</v>
      </c>
      <c r="H6" s="2"/>
      <c r="I6" s="2"/>
      <c r="J6" s="2"/>
      <c r="K6" s="2"/>
    </row>
    <row r="7" spans="1:11" x14ac:dyDescent="0.25">
      <c r="A7" s="2" t="s">
        <v>8</v>
      </c>
      <c r="B7" s="2" t="s">
        <v>20</v>
      </c>
      <c r="C7" s="2">
        <v>2</v>
      </c>
      <c r="D7" s="2">
        <v>115</v>
      </c>
      <c r="E7" s="2">
        <f t="shared" si="1"/>
        <v>2</v>
      </c>
      <c r="F7" s="6" t="s">
        <v>55</v>
      </c>
      <c r="G7" s="2" t="s">
        <v>47</v>
      </c>
      <c r="H7" s="2"/>
      <c r="I7" s="2"/>
      <c r="J7" s="2"/>
      <c r="K7" s="2"/>
    </row>
    <row r="8" spans="1:11" x14ac:dyDescent="0.25">
      <c r="A8" s="2" t="s">
        <v>9</v>
      </c>
      <c r="B8" s="2" t="s">
        <v>24</v>
      </c>
      <c r="C8" s="2">
        <v>2</v>
      </c>
      <c r="D8" s="2">
        <f>180+21+33</f>
        <v>234</v>
      </c>
      <c r="E8" s="2">
        <f t="shared" si="1"/>
        <v>4</v>
      </c>
      <c r="F8" s="6" t="s">
        <v>56</v>
      </c>
      <c r="G8" s="2" t="s">
        <v>47</v>
      </c>
      <c r="H8" s="2"/>
      <c r="I8" s="2"/>
      <c r="J8" s="2"/>
      <c r="K8" s="2"/>
    </row>
    <row r="9" spans="1:11" x14ac:dyDescent="0.25">
      <c r="A9" s="2" t="s">
        <v>10</v>
      </c>
      <c r="B9" s="2" t="s">
        <v>21</v>
      </c>
      <c r="C9" s="2">
        <v>2</v>
      </c>
      <c r="D9" s="2">
        <v>169</v>
      </c>
      <c r="E9" s="2">
        <f t="shared" si="1"/>
        <v>3</v>
      </c>
      <c r="F9" s="6" t="s">
        <v>57</v>
      </c>
      <c r="G9" s="2" t="s">
        <v>47</v>
      </c>
      <c r="H9" s="2"/>
      <c r="I9" s="2"/>
      <c r="J9" s="2"/>
      <c r="K9" s="2"/>
    </row>
    <row r="10" spans="1:11" x14ac:dyDescent="0.25">
      <c r="A10" s="2" t="s">
        <v>11</v>
      </c>
      <c r="B10" s="2" t="s">
        <v>39</v>
      </c>
      <c r="C10" s="2">
        <v>2</v>
      </c>
      <c r="D10" s="2">
        <f>180+30+20+15+47</f>
        <v>292</v>
      </c>
      <c r="E10" s="2">
        <f>CEILING(D10/60,1)</f>
        <v>5</v>
      </c>
      <c r="F10" s="6" t="s">
        <v>58</v>
      </c>
      <c r="G10" s="2" t="s">
        <v>47</v>
      </c>
      <c r="H10" s="2"/>
      <c r="I10" s="2"/>
      <c r="J10" s="2"/>
      <c r="K10" s="2"/>
    </row>
    <row r="11" spans="1:11" x14ac:dyDescent="0.25">
      <c r="A11" s="3" t="s">
        <v>12</v>
      </c>
      <c r="B11" s="3" t="s">
        <v>27</v>
      </c>
      <c r="C11" s="3">
        <v>3</v>
      </c>
      <c r="D11" s="3">
        <v>121</v>
      </c>
      <c r="E11" s="3">
        <f t="shared" ref="E11:E14" si="2">CEILING(D11/60, 1)</f>
        <v>3</v>
      </c>
      <c r="F11" s="7" t="s">
        <v>54</v>
      </c>
      <c r="G11" s="3" t="s">
        <v>47</v>
      </c>
      <c r="H11" s="3"/>
      <c r="I11" s="3"/>
      <c r="J11" s="3"/>
      <c r="K11" s="3"/>
    </row>
    <row r="12" spans="1:11" x14ac:dyDescent="0.25">
      <c r="A12" s="3" t="s">
        <v>13</v>
      </c>
      <c r="B12" s="3" t="s">
        <v>26</v>
      </c>
      <c r="C12" s="3">
        <v>3</v>
      </c>
      <c r="D12" s="3">
        <v>123</v>
      </c>
      <c r="E12" s="3">
        <f t="shared" si="2"/>
        <v>3</v>
      </c>
      <c r="F12" s="7"/>
      <c r="G12" s="3" t="s">
        <v>47</v>
      </c>
      <c r="H12" s="3"/>
      <c r="I12" s="3"/>
      <c r="J12" s="3"/>
      <c r="K12" s="3"/>
    </row>
    <row r="13" spans="1:11" x14ac:dyDescent="0.25">
      <c r="A13" s="3" t="s">
        <v>14</v>
      </c>
      <c r="B13" s="3" t="s">
        <v>23</v>
      </c>
      <c r="C13" s="3">
        <v>3</v>
      </c>
      <c r="D13" s="3">
        <f>(4*60)+48+26+18</f>
        <v>332</v>
      </c>
      <c r="E13" s="3">
        <f t="shared" si="2"/>
        <v>6</v>
      </c>
      <c r="F13" s="7"/>
      <c r="G13" s="3" t="s">
        <v>47</v>
      </c>
      <c r="H13" s="3"/>
      <c r="I13" s="3"/>
      <c r="J13" s="3"/>
      <c r="K13" s="3"/>
    </row>
    <row r="14" spans="1:11" x14ac:dyDescent="0.25">
      <c r="A14" s="3" t="s">
        <v>15</v>
      </c>
      <c r="B14" s="3" t="s">
        <v>22</v>
      </c>
      <c r="C14" s="3">
        <v>3</v>
      </c>
      <c r="D14" s="3">
        <f>(6*60)+8</f>
        <v>368</v>
      </c>
      <c r="E14" s="3">
        <f t="shared" si="2"/>
        <v>7</v>
      </c>
      <c r="F14" s="7"/>
      <c r="G14" s="3" t="s">
        <v>47</v>
      </c>
      <c r="H14" s="3"/>
      <c r="I14" s="3"/>
      <c r="J14" s="3"/>
      <c r="K14" s="3"/>
    </row>
    <row r="15" spans="1:11" x14ac:dyDescent="0.25">
      <c r="A15" s="3" t="s">
        <v>16</v>
      </c>
      <c r="B15" s="3" t="s">
        <v>25</v>
      </c>
      <c r="C15" s="3">
        <v>3</v>
      </c>
      <c r="D15" s="3">
        <v>165</v>
      </c>
      <c r="E15" s="3">
        <f>CEILING(D15/60, 1)</f>
        <v>3</v>
      </c>
      <c r="F15" s="7"/>
      <c r="G15" s="3" t="s">
        <v>47</v>
      </c>
      <c r="H15" s="3"/>
      <c r="I15" s="3"/>
      <c r="J15" s="3"/>
      <c r="K15" s="3"/>
    </row>
    <row r="16" spans="1:11" x14ac:dyDescent="0.25">
      <c r="A16" s="3" t="s">
        <v>41</v>
      </c>
      <c r="B16" s="3" t="s">
        <v>42</v>
      </c>
      <c r="C16" s="3"/>
      <c r="D16" s="3">
        <f>SUM(Table1[Length (Minutes)])</f>
        <v>2626</v>
      </c>
      <c r="E16" s="3">
        <f>CEILING(D16/60, 1)</f>
        <v>44</v>
      </c>
      <c r="F16" s="7"/>
      <c r="G16" s="3" t="s">
        <v>47</v>
      </c>
      <c r="H16" s="3"/>
      <c r="I16" s="3"/>
      <c r="J16" s="3"/>
      <c r="K16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C0D3D-0124-4C01-948A-2A23680FE78C}">
  <dimension ref="A1"/>
  <sheetViews>
    <sheetView workbookViewId="0">
      <selection activeCell="G22" sqref="G2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4F0FB-A71B-4F53-B1BD-3158FB40AAB4}">
  <dimension ref="A1:C4"/>
  <sheetViews>
    <sheetView workbookViewId="0">
      <selection activeCell="B4" sqref="B4"/>
    </sheetView>
  </sheetViews>
  <sheetFormatPr defaultRowHeight="15" x14ac:dyDescent="0.25"/>
  <cols>
    <col min="1" max="1" width="9.85546875" customWidth="1"/>
    <col min="2" max="2" width="20.28515625" customWidth="1"/>
  </cols>
  <sheetData>
    <row r="1" spans="1:3" x14ac:dyDescent="0.25">
      <c r="A1" t="s">
        <v>28</v>
      </c>
      <c r="B1" t="s">
        <v>29</v>
      </c>
      <c r="C1" t="s">
        <v>30</v>
      </c>
    </row>
    <row r="2" spans="1:3" x14ac:dyDescent="0.25">
      <c r="A2" t="s">
        <v>31</v>
      </c>
      <c r="B2" t="s">
        <v>33</v>
      </c>
      <c r="C2">
        <v>60</v>
      </c>
    </row>
    <row r="3" spans="1:3" x14ac:dyDescent="0.25">
      <c r="A3" t="s">
        <v>32</v>
      </c>
      <c r="B3" t="s">
        <v>34</v>
      </c>
      <c r="C3">
        <v>60</v>
      </c>
    </row>
    <row r="4" spans="1:3" x14ac:dyDescent="0.25">
      <c r="A4" t="s">
        <v>35</v>
      </c>
      <c r="C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Movies to Seasons</vt:lpstr>
      <vt:lpstr>Powerteam Miniseries</vt:lpstr>
      <vt:lpstr>Season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Young</dc:creator>
  <cp:lastModifiedBy>Adam Young</cp:lastModifiedBy>
  <dcterms:created xsi:type="dcterms:W3CDTF">2015-06-05T18:17:20Z</dcterms:created>
  <dcterms:modified xsi:type="dcterms:W3CDTF">2025-06-07T10:49:26Z</dcterms:modified>
</cp:coreProperties>
</file>